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ÁCTICA" sheetId="1" r:id="rId4"/>
  </sheets>
  <definedNames/>
  <calcPr/>
  <extLst>
    <ext uri="GoogleSheetsCustomDataVersion2">
      <go:sheetsCustomData xmlns:go="http://customooxmlschemas.google.com/" r:id="rId5" roundtripDataChecksum="s47BFK3ZBHd5hO6vQnZRcupUBVlN41Lj9HXrGg15MkU="/>
    </ext>
  </extLst>
</workbook>
</file>

<file path=xl/sharedStrings.xml><?xml version="1.0" encoding="utf-8"?>
<sst xmlns="http://schemas.openxmlformats.org/spreadsheetml/2006/main" count="39" uniqueCount="28">
  <si>
    <t>Está sección deberá resolverse usando fórmulas en Excel, completar los campos en azul.</t>
  </si>
  <si>
    <t>Usando interés simple:</t>
  </si>
  <si>
    <t>1. Calcula el interés simple de un préstamo de $10,000 a una tasa del 5% anual por 3 años.</t>
  </si>
  <si>
    <t>Variable</t>
  </si>
  <si>
    <t>Valor</t>
  </si>
  <si>
    <t>Respuesta (Fórmula)</t>
  </si>
  <si>
    <t>P</t>
  </si>
  <si>
    <t>t</t>
  </si>
  <si>
    <t>i</t>
  </si>
  <si>
    <t>2. Determina el saldo final de una inversión de $8,000 a una tasa del 7% anual durante 4 años.</t>
  </si>
  <si>
    <t>3. Un préstamo genera $1,200 en intereses con una tasa del 6% anual. ¿Cuánto tiempo pasó si el monto original fue $5,000?</t>
  </si>
  <si>
    <t>C</t>
  </si>
  <si>
    <t>I</t>
  </si>
  <si>
    <t>Usando interés compuesto:</t>
  </si>
  <si>
    <t>4. Si inviertes $5,000 por 3 años, ¿cuál es el valor futuro?</t>
  </si>
  <si>
    <r>
      <rPr>
        <rFont val="Aptos Narrow"/>
        <color theme="1"/>
      </rPr>
      <t xml:space="preserve">Escribir sólo en la celda </t>
    </r>
    <r>
      <rPr>
        <rFont val="Aptos Narrow"/>
        <b/>
        <color theme="1"/>
        <sz val="11.0"/>
      </rPr>
      <t>C29</t>
    </r>
    <r>
      <rPr>
        <rFont val="Aptos Narrow"/>
        <color theme="1"/>
        <sz val="11.0"/>
      </rPr>
      <t xml:space="preserve"> y de ahí sólo arrastrar la fórmula.</t>
    </r>
  </si>
  <si>
    <t>Tasa anual</t>
  </si>
  <si>
    <t>Valor Futuro</t>
  </si>
  <si>
    <t>5. Calcula el valor futuro de $3,000 a una tasa de 5% anual compuesta semestralmente.</t>
  </si>
  <si>
    <r>
      <rPr>
        <rFont val="Aptos Narrow"/>
        <color theme="1"/>
      </rPr>
      <t xml:space="preserve">Escribir sólo en la celda </t>
    </r>
    <r>
      <rPr>
        <rFont val="Aptos Narrow"/>
        <b/>
        <color theme="1"/>
        <sz val="11.0"/>
      </rPr>
      <t>C38</t>
    </r>
    <r>
      <rPr>
        <rFont val="Aptos Narrow"/>
        <color theme="1"/>
        <sz val="11.0"/>
      </rPr>
      <t xml:space="preserve"> y de ahí sólo arrastrar la fórmula.</t>
    </r>
  </si>
  <si>
    <t>Tiempo (Años)</t>
  </si>
  <si>
    <t>6. Una inversión inicial de $2,000, después de 5 años con capitalización anual. ¿Cuál fue la tasa de interés?</t>
  </si>
  <si>
    <r>
      <rPr>
        <rFont val="Aptos Narrow"/>
        <color theme="1"/>
      </rPr>
      <t xml:space="preserve">Escribir sólo en la celda </t>
    </r>
    <r>
      <rPr>
        <rFont val="Aptos Narrow"/>
        <b/>
        <color theme="1"/>
        <sz val="11.0"/>
      </rPr>
      <t>C48</t>
    </r>
    <r>
      <rPr>
        <rFont val="Aptos Narrow"/>
        <color theme="1"/>
        <sz val="11.0"/>
      </rPr>
      <t xml:space="preserve"> y de ahí sólo arrastrar la fórmula.</t>
    </r>
  </si>
  <si>
    <t>Saldo</t>
  </si>
  <si>
    <t>Tasa</t>
  </si>
  <si>
    <t>7. ¿Cuántos años tomará para que una inversión de $X crezca a $6,000 a una tasa de interés del Y% anual compuesta anualmente?</t>
  </si>
  <si>
    <r>
      <rPr>
        <rFont val="Aptos Narrow"/>
        <color theme="1"/>
      </rPr>
      <t xml:space="preserve">Escribir sólo en la celda </t>
    </r>
    <r>
      <rPr>
        <rFont val="Aptos Narrow"/>
        <b/>
        <color theme="1"/>
        <sz val="11.0"/>
      </rPr>
      <t>C58</t>
    </r>
    <r>
      <rPr>
        <rFont val="Aptos Narrow"/>
        <color theme="1"/>
        <sz val="11.0"/>
      </rPr>
      <t xml:space="preserve"> y de ahí sólo arrastrar la fórmula.</t>
    </r>
  </si>
  <si>
    <t>Inversión\Tasa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</si>
</sst>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0.00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60CBF3"/>
        <bgColor rgb="FF60CB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2" fontId="3" numFmtId="0" xfId="0" applyBorder="1" applyFill="1" applyFont="1"/>
    <xf borderId="1" fillId="2" fontId="4" numFmtId="0" xfId="0" applyAlignment="1" applyBorder="1" applyFont="1">
      <alignment readingOrder="0"/>
    </xf>
    <xf borderId="1" fillId="2" fontId="4" numFmtId="4" xfId="0" applyAlignment="1" applyBorder="1" applyFont="1" applyNumberFormat="1">
      <alignment readingOrder="0"/>
    </xf>
    <xf borderId="1" fillId="2" fontId="3" numFmtId="0" xfId="0" applyBorder="1" applyFont="1"/>
    <xf borderId="1" fillId="2" fontId="3" numFmtId="9" xfId="0" applyBorder="1" applyFont="1" applyNumberFormat="1"/>
    <xf borderId="1" fillId="3" fontId="3" numFmtId="0" xfId="0" applyBorder="1" applyFill="1" applyFont="1"/>
    <xf borderId="1" fillId="0" fontId="3" numFmtId="0" xfId="0" applyBorder="1" applyFont="1"/>
    <xf borderId="1" fillId="0" fontId="3" numFmtId="164" xfId="0" applyBorder="1" applyFont="1" applyNumberFormat="1"/>
    <xf borderId="1" fillId="3" fontId="3" numFmtId="10" xfId="0" applyBorder="1" applyFont="1" applyNumberFormat="1"/>
    <xf borderId="1" fillId="0" fontId="3" numFmtId="10" xfId="0" applyBorder="1" applyFont="1" applyNumberFormat="1"/>
    <xf borderId="1" fillId="3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75"/>
    <col customWidth="1" min="3" max="3" width="13.0"/>
    <col customWidth="1" min="4" max="4" width="12.38"/>
    <col customWidth="1" min="5" max="5" width="18.25"/>
    <col customWidth="1" min="6" max="6" width="13.25"/>
    <col customWidth="1" min="7" max="7" width="11.25"/>
    <col customWidth="1" min="8" max="8" width="12.0"/>
    <col customWidth="1" min="9" max="26" width="10.6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/>
    <row r="5" ht="14.25" customHeight="1">
      <c r="B5" s="3" t="s">
        <v>3</v>
      </c>
      <c r="C5" s="3" t="s">
        <v>4</v>
      </c>
      <c r="E5" s="3" t="s">
        <v>5</v>
      </c>
      <c r="F5" s="4">
        <f>C6*C7*C8</f>
        <v>1500</v>
      </c>
    </row>
    <row r="6" ht="14.25" customHeight="1">
      <c r="B6" s="5" t="s">
        <v>6</v>
      </c>
      <c r="C6" s="6">
        <v>10000.0</v>
      </c>
    </row>
    <row r="7" ht="14.25" customHeight="1">
      <c r="B7" s="5" t="s">
        <v>7</v>
      </c>
      <c r="C7" s="5">
        <v>3.0</v>
      </c>
    </row>
    <row r="8" ht="14.25" customHeight="1">
      <c r="B8" s="5" t="s">
        <v>8</v>
      </c>
      <c r="C8" s="6">
        <v>0.05</v>
      </c>
    </row>
    <row r="9" ht="14.25" customHeight="1"/>
    <row r="10" ht="14.25" customHeight="1">
      <c r="A10" s="2" t="s">
        <v>9</v>
      </c>
    </row>
    <row r="11" ht="14.25" customHeight="1"/>
    <row r="12" ht="14.25" customHeight="1">
      <c r="B12" s="3" t="s">
        <v>3</v>
      </c>
      <c r="C12" s="3" t="s">
        <v>4</v>
      </c>
      <c r="E12" s="3" t="s">
        <v>5</v>
      </c>
      <c r="F12" s="7">
        <f>8000+(C13*C14*C15)</f>
        <v>10240</v>
      </c>
    </row>
    <row r="13" ht="14.25" customHeight="1">
      <c r="B13" s="5" t="s">
        <v>6</v>
      </c>
      <c r="C13" s="5">
        <v>8000.0</v>
      </c>
    </row>
    <row r="14" ht="14.25" customHeight="1">
      <c r="B14" s="5" t="s">
        <v>8</v>
      </c>
      <c r="C14" s="5">
        <v>0.07</v>
      </c>
    </row>
    <row r="15" ht="14.25" customHeight="1">
      <c r="B15" s="5" t="s">
        <v>7</v>
      </c>
      <c r="C15" s="5">
        <v>4.0</v>
      </c>
    </row>
    <row r="16" ht="14.25" customHeight="1"/>
    <row r="17" ht="14.25" customHeight="1">
      <c r="A17" s="2" t="s">
        <v>10</v>
      </c>
    </row>
    <row r="18" ht="14.25" customHeight="1"/>
    <row r="19" ht="14.25" customHeight="1">
      <c r="B19" s="3" t="s">
        <v>3</v>
      </c>
      <c r="C19" s="3" t="s">
        <v>4</v>
      </c>
      <c r="E19" s="3" t="s">
        <v>5</v>
      </c>
      <c r="F19" s="7">
        <f>C21/(C20*C22)</f>
        <v>4</v>
      </c>
    </row>
    <row r="20" ht="14.25" customHeight="1">
      <c r="B20" s="5" t="s">
        <v>11</v>
      </c>
      <c r="C20" s="5">
        <v>5000.0</v>
      </c>
    </row>
    <row r="21" ht="14.25" customHeight="1">
      <c r="B21" s="5" t="s">
        <v>12</v>
      </c>
      <c r="C21" s="5">
        <v>1200.0</v>
      </c>
    </row>
    <row r="22" ht="14.25" customHeight="1">
      <c r="B22" s="5" t="s">
        <v>8</v>
      </c>
      <c r="C22" s="5">
        <v>0.06</v>
      </c>
    </row>
    <row r="23" ht="14.25" customHeight="1"/>
    <row r="24" ht="14.25" customHeight="1">
      <c r="A24" s="2" t="s">
        <v>13</v>
      </c>
    </row>
    <row r="25" ht="14.25" customHeight="1">
      <c r="A25" s="2" t="s">
        <v>14</v>
      </c>
    </row>
    <row r="26" ht="14.25" customHeight="1">
      <c r="A26" s="2" t="s">
        <v>15</v>
      </c>
    </row>
    <row r="27" ht="14.25" customHeight="1"/>
    <row r="28" ht="14.25" customHeight="1">
      <c r="B28" s="3" t="s">
        <v>16</v>
      </c>
      <c r="C28" s="3" t="s">
        <v>17</v>
      </c>
    </row>
    <row r="29" ht="14.25" customHeight="1">
      <c r="B29" s="8">
        <v>0.05</v>
      </c>
      <c r="C29" s="9">
        <f t="shared" ref="C29:C32" si="1">5000*(1+B29)^3</f>
        <v>5788.125</v>
      </c>
    </row>
    <row r="30" ht="14.25" customHeight="1">
      <c r="B30" s="8">
        <v>0.06</v>
      </c>
      <c r="C30" s="5">
        <f t="shared" si="1"/>
        <v>5955.08</v>
      </c>
    </row>
    <row r="31" ht="14.25" customHeight="1">
      <c r="B31" s="8">
        <v>0.1</v>
      </c>
      <c r="C31" s="5">
        <f t="shared" si="1"/>
        <v>6655</v>
      </c>
    </row>
    <row r="32" ht="14.25" customHeight="1">
      <c r="B32" s="8">
        <v>0.15</v>
      </c>
      <c r="C32" s="5">
        <f t="shared" si="1"/>
        <v>7604.375</v>
      </c>
    </row>
    <row r="33" ht="14.25" customHeight="1"/>
    <row r="34" ht="14.25" customHeight="1">
      <c r="A34" s="2" t="s">
        <v>18</v>
      </c>
    </row>
    <row r="35" ht="14.25" customHeight="1">
      <c r="A35" s="2" t="s">
        <v>19</v>
      </c>
    </row>
    <row r="36" ht="14.25" customHeight="1"/>
    <row r="37" ht="14.25" customHeight="1">
      <c r="B37" s="3" t="s">
        <v>20</v>
      </c>
      <c r="C37" s="3" t="s">
        <v>17</v>
      </c>
    </row>
    <row r="38" ht="14.25" customHeight="1">
      <c r="B38" s="10">
        <v>1.0</v>
      </c>
      <c r="C38" s="9">
        <f t="shared" ref="C38:C42" si="2">3000*(1+0.05/2)^(2*B38)</f>
        <v>3151.875</v>
      </c>
    </row>
    <row r="39" ht="14.25" customHeight="1">
      <c r="B39" s="10">
        <v>2.0</v>
      </c>
      <c r="C39" s="9">
        <f t="shared" si="2"/>
        <v>3311.438672</v>
      </c>
    </row>
    <row r="40" ht="14.25" customHeight="1">
      <c r="B40" s="10">
        <v>3.0</v>
      </c>
      <c r="C40" s="9">
        <f t="shared" si="2"/>
        <v>3479.080255</v>
      </c>
    </row>
    <row r="41" ht="14.25" customHeight="1">
      <c r="B41" s="10">
        <v>4.0</v>
      </c>
      <c r="C41" s="9">
        <f t="shared" si="2"/>
        <v>3655.208693</v>
      </c>
    </row>
    <row r="42" ht="14.25" customHeight="1">
      <c r="B42" s="10">
        <v>5.0</v>
      </c>
      <c r="C42" s="9">
        <f t="shared" si="2"/>
        <v>3840.253633</v>
      </c>
    </row>
    <row r="43" ht="14.25" customHeight="1"/>
    <row r="44" ht="14.25" customHeight="1">
      <c r="A44" s="2" t="s">
        <v>21</v>
      </c>
    </row>
    <row r="45" ht="14.25" customHeight="1">
      <c r="A45" s="2" t="s">
        <v>22</v>
      </c>
    </row>
    <row r="46" ht="14.25" customHeight="1"/>
    <row r="47" ht="14.25" customHeight="1">
      <c r="B47" s="3" t="s">
        <v>23</v>
      </c>
      <c r="C47" s="3" t="s">
        <v>24</v>
      </c>
    </row>
    <row r="48" ht="14.25" customHeight="1">
      <c r="B48" s="11">
        <v>3000.0</v>
      </c>
      <c r="C48" s="12">
        <f t="shared" ref="C48:C52" si="3">(B48/2000)^(1/5)-1</f>
        <v>0.0844717712</v>
      </c>
    </row>
    <row r="49" ht="14.25" customHeight="1">
      <c r="B49" s="11">
        <v>6000.0</v>
      </c>
      <c r="C49" s="12">
        <f t="shared" si="3"/>
        <v>0.2457309396</v>
      </c>
    </row>
    <row r="50" ht="14.25" customHeight="1">
      <c r="B50" s="11">
        <v>12000.0</v>
      </c>
      <c r="C50" s="12">
        <f t="shared" si="3"/>
        <v>0.4309690811</v>
      </c>
    </row>
    <row r="51" ht="14.25" customHeight="1">
      <c r="B51" s="11">
        <v>24000.0</v>
      </c>
      <c r="C51" s="12">
        <f t="shared" si="3"/>
        <v>0.6437518295</v>
      </c>
    </row>
    <row r="52" ht="14.25" customHeight="1">
      <c r="B52" s="11">
        <v>48000.0</v>
      </c>
      <c r="C52" s="12">
        <f t="shared" si="3"/>
        <v>0.8881750226</v>
      </c>
    </row>
    <row r="53" ht="14.25" customHeight="1"/>
    <row r="54" ht="14.25" customHeight="1">
      <c r="A54" s="2" t="s">
        <v>25</v>
      </c>
    </row>
    <row r="55" ht="14.25" customHeight="1">
      <c r="A55" s="2" t="s">
        <v>26</v>
      </c>
    </row>
    <row r="56" ht="14.25" customHeight="1"/>
    <row r="57" ht="14.25" customHeight="1">
      <c r="B57" s="10" t="s">
        <v>27</v>
      </c>
      <c r="C57" s="13">
        <v>0.05</v>
      </c>
      <c r="D57" s="13">
        <f t="shared" ref="D57:H57" si="4">+C57+1.5%</f>
        <v>0.065</v>
      </c>
      <c r="E57" s="13">
        <f t="shared" si="4"/>
        <v>0.08</v>
      </c>
      <c r="F57" s="13">
        <f t="shared" si="4"/>
        <v>0.095</v>
      </c>
      <c r="G57" s="13">
        <f t="shared" si="4"/>
        <v>0.11</v>
      </c>
      <c r="H57" s="13">
        <f t="shared" si="4"/>
        <v>0.125</v>
      </c>
    </row>
    <row r="58" ht="14.25" customHeight="1">
      <c r="B58" s="11">
        <v>1000.0</v>
      </c>
      <c r="C58" s="14">
        <f t="shared" ref="C58:H58" si="5">LN(6000/$B58)/LN(1+C$57)</f>
        <v>36.72378439</v>
      </c>
      <c r="D58" s="14">
        <f t="shared" si="5"/>
        <v>28.45200768</v>
      </c>
      <c r="E58" s="14">
        <f t="shared" si="5"/>
        <v>23.28138293</v>
      </c>
      <c r="F58" s="14">
        <f t="shared" si="5"/>
        <v>19.74295675</v>
      </c>
      <c r="G58" s="14">
        <f t="shared" si="5"/>
        <v>17.16902267</v>
      </c>
      <c r="H58" s="14">
        <f t="shared" si="5"/>
        <v>15.21237298</v>
      </c>
    </row>
    <row r="59" ht="14.25" customHeight="1">
      <c r="B59" s="11">
        <f t="shared" ref="B59:B62" si="7">+B58+1000</f>
        <v>2000</v>
      </c>
      <c r="C59" s="14">
        <f t="shared" ref="C59:H59" si="6">LN(6000/$B59)/LN(1+C$57)</f>
        <v>22.51708531</v>
      </c>
      <c r="D59" s="14">
        <f t="shared" si="6"/>
        <v>17.44526864</v>
      </c>
      <c r="E59" s="14">
        <f t="shared" si="6"/>
        <v>14.27491459</v>
      </c>
      <c r="F59" s="14">
        <f t="shared" si="6"/>
        <v>12.10533851</v>
      </c>
      <c r="G59" s="14">
        <f t="shared" si="6"/>
        <v>10.52713805</v>
      </c>
      <c r="H59" s="14">
        <f t="shared" si="6"/>
        <v>9.327423789</v>
      </c>
    </row>
    <row r="60" ht="14.25" customHeight="1">
      <c r="B60" s="11">
        <f t="shared" si="7"/>
        <v>3000</v>
      </c>
      <c r="C60" s="14">
        <f t="shared" ref="C60:H60" si="8">LN(6000/$B60)/LN(1+C$57)</f>
        <v>14.20669908</v>
      </c>
      <c r="D60" s="14">
        <f t="shared" si="8"/>
        <v>11.00673904</v>
      </c>
      <c r="E60" s="14">
        <f t="shared" si="8"/>
        <v>9.006468342</v>
      </c>
      <c r="F60" s="14">
        <f t="shared" si="8"/>
        <v>7.637618243</v>
      </c>
      <c r="G60" s="14">
        <f t="shared" si="8"/>
        <v>6.641884618</v>
      </c>
      <c r="H60" s="14">
        <f t="shared" si="8"/>
        <v>5.884949192</v>
      </c>
    </row>
    <row r="61" ht="14.25" customHeight="1">
      <c r="B61" s="11">
        <f t="shared" si="7"/>
        <v>4000</v>
      </c>
      <c r="C61" s="14">
        <f t="shared" ref="C61:H61" si="9">LN(6000/$B61)/LN(1+C$57)</f>
        <v>8.310386223</v>
      </c>
      <c r="D61" s="14">
        <f t="shared" si="9"/>
        <v>6.438529594</v>
      </c>
      <c r="E61" s="14">
        <f t="shared" si="9"/>
        <v>5.268446244</v>
      </c>
      <c r="F61" s="14">
        <f t="shared" si="9"/>
        <v>4.467720267</v>
      </c>
      <c r="G61" s="14">
        <f t="shared" si="9"/>
        <v>3.885253436</v>
      </c>
      <c r="H61" s="14">
        <f t="shared" si="9"/>
        <v>3.442474596</v>
      </c>
    </row>
    <row r="62" ht="14.25" customHeight="1">
      <c r="B62" s="11">
        <f t="shared" si="7"/>
        <v>5000</v>
      </c>
      <c r="C62" s="14">
        <f t="shared" ref="C62:H62" si="10">LN(6000/$B62)/LN(1+C$57)</f>
        <v>3.736850652</v>
      </c>
      <c r="D62" s="14">
        <f t="shared" si="10"/>
        <v>2.895151064</v>
      </c>
      <c r="E62" s="14">
        <f t="shared" si="10"/>
        <v>2.369011049</v>
      </c>
      <c r="F62" s="14">
        <f t="shared" si="10"/>
        <v>2.008956377</v>
      </c>
      <c r="G62" s="14">
        <f t="shared" si="10"/>
        <v>1.747044174</v>
      </c>
      <c r="H62" s="14">
        <f t="shared" si="10"/>
        <v>1.547944114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2024-11-11T02:46:55Z</dcterms:created>
  <dc:creator>Ojeda Gonzalez Jose de Jesus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0x010100A53CC6F9843C604087DDABF9CB6CF549</vt:lpwstr>
  </property>
</Properties>
</file>
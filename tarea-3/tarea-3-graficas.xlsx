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3D3D1DAB-B664-4F52-8E20-AD0BF25C11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28" i="1"/>
  <c r="D29" i="1"/>
  <c r="D30" i="1"/>
  <c r="D31" i="1"/>
  <c r="D22" i="1"/>
  <c r="C23" i="1"/>
  <c r="C24" i="1"/>
  <c r="C25" i="1"/>
  <c r="C26" i="1"/>
  <c r="C27" i="1"/>
  <c r="C28" i="1"/>
  <c r="C29" i="1"/>
  <c r="C30" i="1"/>
  <c r="C31" i="1"/>
  <c r="C22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4" i="1"/>
  <c r="D4" i="1" s="1"/>
</calcChain>
</file>

<file path=xl/sharedStrings.xml><?xml version="1.0" encoding="utf-8"?>
<sst xmlns="http://schemas.openxmlformats.org/spreadsheetml/2006/main" count="8" uniqueCount="5">
  <si>
    <t>Ejercicio 3b</t>
  </si>
  <si>
    <t>Tasa Nominal (j)</t>
  </si>
  <si>
    <t>Tasa Efectiva Semestral (i)</t>
  </si>
  <si>
    <t>Precio del Bono (P)</t>
  </si>
  <si>
    <t>Ejercicio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</si>
</sst>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%"/>
    <numFmt numFmtId="166" formatCode="_-[$$-409]* #,##0.00_ ;_-[$$-409]* \-#,##0.00\ ;_-[$$-409]* &quot;-&quot;??_ ;_-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9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del bono respecto a su tasa de mercado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Precio del bono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cat>
            <c:numRef>
              <c:f>Hoja1!$B$4:$B$13</c:f>
              <c:numCache>
                <c:formatCode>0%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Hoja1!$D$4:$D$13</c:f>
              <c:numCache>
                <c:formatCode>_-[$$-409]* #,##0.00_ ;_-[$$-409]* \-#,##0.00\ ;_-[$$-409]* "-"??_ ;_-@_ </c:formatCode>
                <c:ptCount val="10"/>
                <c:pt idx="0">
                  <c:v>1293.6629248161389</c:v>
                </c:pt>
                <c:pt idx="1">
                  <c:v>1249.1944818467057</c:v>
                </c:pt>
                <c:pt idx="2">
                  <c:v>1206.5119338771301</c:v>
                </c:pt>
                <c:pt idx="3">
                  <c:v>1165.5364934238673</c:v>
                </c:pt>
                <c:pt idx="4">
                  <c:v>1126.1931212772461</c:v>
                </c:pt>
                <c:pt idx="5">
                  <c:v>1088.4103359576834</c:v>
                </c:pt>
                <c:pt idx="6">
                  <c:v>1052.1200334602981</c:v>
                </c:pt>
                <c:pt idx="7">
                  <c:v>1017.2573167004225</c:v>
                </c:pt>
                <c:pt idx="8">
                  <c:v>983.76033410803598</c:v>
                </c:pt>
                <c:pt idx="9">
                  <c:v>951.57012685216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1E-43B7-9EB7-FC95E812C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076679"/>
        <c:axId val="407649800"/>
      </c:lineChart>
      <c:catAx>
        <c:axId val="178607667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Tasa de mercado nominal cuatrimestral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49800"/>
        <c:crosses val="autoZero"/>
        <c:auto val="1"/>
        <c:lblAlgn val="ctr"/>
        <c:lblOffset val="100"/>
        <c:noMultiLvlLbl val="0"/>
      </c:catAx>
      <c:valAx>
        <c:axId val="40764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del bono  (P)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076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del bono respecto a su tasa cupón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Precio del bono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cat>
            <c:numRef>
              <c:f>Hoja1!B22:B31</c:f>
              <c:numCache>
                <c:formatCode>0%</c:formatCode>
                <c:ptCount val="10"/>
                <c:pt idx="0">
                  <c:v>0.04</c:v>
                </c:pt>
                <c:pt idx="1">
                  <c:v>0.05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0.09</c:v>
                </c:pt>
                <c:pt idx="6">
                  <c:v>0.1</c:v>
                </c:pt>
                <c:pt idx="7">
                  <c:v>0.11</c:v>
                </c:pt>
                <c:pt idx="8">
                  <c:v>0.12</c:v>
                </c:pt>
                <c:pt idx="9">
                  <c:v>0.13</c:v>
                </c:pt>
              </c:numCache>
            </c:numRef>
          </c:cat>
          <c:val>
            <c:numRef>
              <c:f>Hoja1!D22:D31</c:f>
              <c:numCache>
                <c:formatCode>_-[$$-409]* #,##0.00_ ;_-[$$-409]* \-#,##0.00\ ;_-[$$-409]* "-"??_ ;_-@_ </c:formatCode>
                <c:ptCount val="10"/>
                <c:pt idx="0">
                  <c:v>849.12603899999999</c:v>
                </c:pt>
                <c:pt idx="1">
                  <c:v>882.75295400000005</c:v>
                </c:pt>
                <c:pt idx="2">
                  <c:v>916.37986899999999</c:v>
                </c:pt>
                <c:pt idx="3">
                  <c:v>950.00678400000004</c:v>
                </c:pt>
                <c:pt idx="4">
                  <c:v>983.63369899999998</c:v>
                </c:pt>
                <c:pt idx="5">
                  <c:v>1017.260614</c:v>
                </c:pt>
                <c:pt idx="6">
                  <c:v>1050.8875290000001</c:v>
                </c:pt>
                <c:pt idx="7">
                  <c:v>1084.5144439999999</c:v>
                </c:pt>
                <c:pt idx="8">
                  <c:v>1118.141359</c:v>
                </c:pt>
                <c:pt idx="9">
                  <c:v>1151.768274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9-4510-B531-960ACD5A7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076679"/>
        <c:axId val="407649800"/>
      </c:lineChart>
      <c:catAx>
        <c:axId val="178607667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Tasa cupón nominal semestral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49800"/>
        <c:crosses val="autoZero"/>
        <c:auto val="1"/>
        <c:lblAlgn val="ctr"/>
        <c:lblOffset val="100"/>
        <c:noMultiLvlLbl val="0"/>
      </c:catAx>
      <c:valAx>
        <c:axId val="40764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del bono  (P)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076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2</xdr:row>
      <xdr:rowOff>0</xdr:rowOff>
    </xdr:from>
    <xdr:to>
      <xdr:col>12</xdr:col>
      <xdr:colOff>276225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61E7CE-C14B-3B0A-3CCD-5488DA761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171450</xdr:rowOff>
    </xdr:from>
    <xdr:to>
      <xdr:col>12</xdr:col>
      <xdr:colOff>304800</xdr:colOff>
      <xdr:row>34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BC9244-95BA-44FB-AD4C-541A68B1F0FF}"/>
            </a:ext>
            <a:ext uri="{147F2762-F138-4A5C-976F-8EAC2B608ADB}">
              <a16:predDERef xmlns:a16="http://schemas.microsoft.com/office/drawing/2014/main" pred="{6561E7CE-C14B-3B0A-3CCD-5488DA761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8" workbookViewId="0">
      <selection activeCell="Q33" sqref="Q33"/>
    </sheetView>
  </sheetViews>
  <sheetFormatPr defaultRowHeight="15"/>
  <cols>
    <col min="1" max="1" width="9.140625" style="1"/>
    <col min="2" max="4" width="10.7109375" style="1" customWidth="1"/>
    <col min="5" max="16384" width="9.140625" style="1"/>
  </cols>
  <sheetData>
    <row r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4" ht="27">
      <c r="A3" s="8"/>
      <c r="B3" s="6" t="s">
        <v>1</v>
      </c>
      <c r="C3" s="6" t="s">
        <v>2</v>
      </c>
      <c r="D3" s="6" t="s">
        <v>3</v>
      </c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8"/>
      <c r="B4" s="2">
        <v>0.01</v>
      </c>
      <c r="C4" s="4">
        <f>SQRT((1+(B4/3))^3)-1</f>
        <v>5.0041643547407144E-3</v>
      </c>
      <c r="D4" s="5">
        <f>45*((1-(1+C4)^(-8))/C4)+980*(1+C4)^(-8)</f>
        <v>1293.6629248161389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/>
      <c r="B5" s="2">
        <v>0.02</v>
      </c>
      <c r="C5" s="4">
        <f t="shared" ref="C5:C13" si="0">SQRT((1+(B5/3))^3)-1</f>
        <v>1.0016648194290712E-2</v>
      </c>
      <c r="D5" s="5">
        <f t="shared" ref="D5:D13" si="1">45*((1-(1+C5)^(-8))/C5)+980*(1+C5)^(-8)</f>
        <v>1249.1944818467057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/>
      <c r="B6" s="2">
        <v>0.03</v>
      </c>
      <c r="C6" s="4">
        <f t="shared" si="0"/>
        <v>1.5037437733209869E-2</v>
      </c>
      <c r="D6" s="5">
        <f t="shared" si="1"/>
        <v>1206.5119338771301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/>
      <c r="B7" s="2">
        <v>0.04</v>
      </c>
      <c r="C7" s="4">
        <f t="shared" si="0"/>
        <v>2.0066519254359205E-2</v>
      </c>
      <c r="D7" s="5">
        <f t="shared" si="1"/>
        <v>1165.5364934238673</v>
      </c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>
      <c r="A8" s="8"/>
      <c r="B8" s="2">
        <v>0.05</v>
      </c>
      <c r="C8" s="4">
        <f t="shared" si="0"/>
        <v>2.5103879108338223E-2</v>
      </c>
      <c r="D8" s="5">
        <f t="shared" si="1"/>
        <v>1126.1931212772461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>
      <c r="A9" s="8"/>
      <c r="B9" s="2">
        <v>0.06</v>
      </c>
      <c r="C9" s="4">
        <f t="shared" si="0"/>
        <v>3.0149503712932013E-2</v>
      </c>
      <c r="D9" s="5">
        <f t="shared" si="1"/>
        <v>1088.4103359576834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>
      <c r="A10" s="8"/>
      <c r="B10" s="2">
        <v>7.0000000000000007E-2</v>
      </c>
      <c r="C10" s="4">
        <f t="shared" si="0"/>
        <v>3.5203379552557923E-2</v>
      </c>
      <c r="D10" s="5">
        <f t="shared" si="1"/>
        <v>1052.1200334602981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s="8"/>
      <c r="B11" s="2">
        <v>0.08</v>
      </c>
      <c r="C11" s="4">
        <f t="shared" si="0"/>
        <v>4.026549317772532E-2</v>
      </c>
      <c r="D11" s="5">
        <f t="shared" si="1"/>
        <v>1017.2573167004225</v>
      </c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2">
        <v>0.09</v>
      </c>
      <c r="C12" s="4">
        <f t="shared" si="0"/>
        <v>4.5335831204498689E-2</v>
      </c>
      <c r="D12" s="5">
        <f t="shared" si="1"/>
        <v>983.76033410803598</v>
      </c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2">
        <v>0.1</v>
      </c>
      <c r="C13" s="4">
        <f t="shared" si="0"/>
        <v>5.0414380313964724E-2</v>
      </c>
      <c r="D13" s="5">
        <f t="shared" si="1"/>
        <v>951.57012685216</v>
      </c>
      <c r="E13" s="8"/>
      <c r="F13" s="8"/>
      <c r="G13" s="8"/>
      <c r="H13" s="8"/>
      <c r="I13" s="8"/>
      <c r="J13" s="8"/>
      <c r="K13" s="8"/>
      <c r="L13" s="8"/>
      <c r="M13" s="8"/>
      <c r="N13" s="8"/>
    </row>
    <row r="19" spans="1:14">
      <c r="A19" s="7" t="s">
        <v>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1" spans="1:14" ht="27">
      <c r="A21" s="8"/>
      <c r="B21" s="6" t="s">
        <v>1</v>
      </c>
      <c r="C21" s="6" t="s">
        <v>2</v>
      </c>
      <c r="D21" s="6" t="s">
        <v>3</v>
      </c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2">
        <v>0.04</v>
      </c>
      <c r="C22" s="3">
        <f>B22/2</f>
        <v>0.02</v>
      </c>
      <c r="D22" s="5">
        <f>(6725.383*C22) + 714.618379</f>
        <v>849.12603899999999</v>
      </c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2">
        <v>0.05</v>
      </c>
      <c r="C23" s="3">
        <f t="shared" ref="C23:C31" si="2">B23/2</f>
        <v>2.5000000000000001E-2</v>
      </c>
      <c r="D23" s="5">
        <f t="shared" ref="D23:D31" si="3">(6725.383*C23) + 714.618379</f>
        <v>882.75295400000005</v>
      </c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2">
        <v>0.06</v>
      </c>
      <c r="C24" s="3">
        <f t="shared" si="2"/>
        <v>0.03</v>
      </c>
      <c r="D24" s="5">
        <f t="shared" si="3"/>
        <v>916.37986899999999</v>
      </c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2">
        <v>7.0000000000000007E-2</v>
      </c>
      <c r="C25" s="3">
        <f t="shared" si="2"/>
        <v>3.5000000000000003E-2</v>
      </c>
      <c r="D25" s="5">
        <f t="shared" si="3"/>
        <v>950.00678400000004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2">
        <v>0.08</v>
      </c>
      <c r="C26" s="3">
        <f t="shared" si="2"/>
        <v>0.04</v>
      </c>
      <c r="D26" s="5">
        <f t="shared" si="3"/>
        <v>983.63369899999998</v>
      </c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2">
        <v>0.09</v>
      </c>
      <c r="C27" s="3">
        <f t="shared" si="2"/>
        <v>4.4999999999999998E-2</v>
      </c>
      <c r="D27" s="5">
        <f t="shared" si="3"/>
        <v>1017.260614</v>
      </c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2">
        <v>0.1</v>
      </c>
      <c r="C28" s="3">
        <f t="shared" si="2"/>
        <v>0.05</v>
      </c>
      <c r="D28" s="5">
        <f t="shared" si="3"/>
        <v>1050.8875290000001</v>
      </c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2">
        <v>0.11</v>
      </c>
      <c r="C29" s="3">
        <f t="shared" si="2"/>
        <v>5.5E-2</v>
      </c>
      <c r="D29" s="5">
        <f t="shared" si="3"/>
        <v>1084.5144439999999</v>
      </c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2">
        <v>0.12</v>
      </c>
      <c r="C30" s="3">
        <f t="shared" si="2"/>
        <v>0.06</v>
      </c>
      <c r="D30" s="5">
        <f t="shared" si="3"/>
        <v>1118.141359</v>
      </c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2">
        <v>0.13</v>
      </c>
      <c r="C31" s="3">
        <f t="shared" si="2"/>
        <v>6.5000000000000002E-2</v>
      </c>
      <c r="D31" s="5">
        <f t="shared" si="3"/>
        <v>1151.768274</v>
      </c>
      <c r="E31" s="8"/>
      <c r="F31" s="8"/>
      <c r="G31" s="8"/>
      <c r="H31" s="8"/>
      <c r="I31" s="8"/>
      <c r="J31" s="8"/>
      <c r="K31" s="8"/>
      <c r="L31" s="8"/>
      <c r="M31" s="8"/>
      <c r="N31" s="8"/>
    </row>
  </sheetData>
  <mergeCells count="2">
    <mergeCell ref="A1:N1"/>
    <mergeCell ref="A19:N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2026-03-25T18:30:15Z</dcterms:created>
  <dcterms:modified xsi:type="dcterms:W3CDTF">2026-03-26T05:54:37Z</dcterms:modified>
  <cp:category/>
  <cp:contentStatus/>
</cp:coreProperties>
</file>